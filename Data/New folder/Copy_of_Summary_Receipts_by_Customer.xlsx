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SplashBI_Migration_Automation\Data\New folder\"/>
    </mc:Choice>
  </mc:AlternateContent>
  <xr:revisionPtr revIDLastSave="0" documentId="13_ncr:1_{1633671A-CD0A-449C-81FA-AF7E332EF5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Pivot-Summ Receipts by Custom" sheetId="3" r:id="rId2"/>
    <sheet name="Pivot-Fixed" sheetId="4" r:id="rId3"/>
    <sheet name="Summary Receipts by Customer" sheetId="5" r:id="rId4"/>
    <sheet name="Summary Receipts by State" sheetId="6" r:id="rId5"/>
    <sheet name="Report Filters - Copy of " sheetId="7" r:id="rId6"/>
  </sheets>
  <definedNames>
    <definedName name="_xlnm._FilterDatabase" localSheetId="0" hidden="1">Data!$A$1:$Y$7</definedName>
  </definedNames>
  <calcPr calcId="0"/>
  <pivotCaches>
    <pivotCache cacheId="7" r:id="rId7"/>
    <pivotCache cacheId="11" r:id="rId8"/>
    <pivotCache cacheId="30" r:id="rId9"/>
    <pivotCache cacheId="50" r:id="rId10"/>
  </pivotCaches>
</workbook>
</file>

<file path=xl/sharedStrings.xml><?xml version="1.0" encoding="utf-8"?>
<sst xmlns="http://schemas.openxmlformats.org/spreadsheetml/2006/main" count="192" uniqueCount="73">
  <si>
    <t>Customer Name</t>
  </si>
  <si>
    <t>Customer Number</t>
  </si>
  <si>
    <t>Receipt Number</t>
  </si>
  <si>
    <t>Receipt Date</t>
  </si>
  <si>
    <t>Type</t>
  </si>
  <si>
    <t>Receipt Status</t>
  </si>
  <si>
    <t>Currency Code</t>
  </si>
  <si>
    <t>Functional Amount</t>
  </si>
  <si>
    <t>Amount</t>
  </si>
  <si>
    <t>Net Amount</t>
  </si>
  <si>
    <t>Customer Receipt Reference</t>
  </si>
  <si>
    <t>Payment Type Code</t>
  </si>
  <si>
    <t>Receipt Class Dsp</t>
  </si>
  <si>
    <t>Location</t>
  </si>
  <si>
    <t>Customer Bank Name</t>
  </si>
  <si>
    <t>Customer Bank Account</t>
  </si>
  <si>
    <t>Customer Bank Account Num</t>
  </si>
  <si>
    <t>Customer Bank Branch</t>
  </si>
  <si>
    <t>Batch Name</t>
  </si>
  <si>
    <t>State</t>
  </si>
  <si>
    <t>Posted Date</t>
  </si>
  <si>
    <t>Gl Posted Date</t>
  </si>
  <si>
    <t>Activity</t>
  </si>
  <si>
    <t>Tax Code Source</t>
  </si>
  <si>
    <t>Operating Unit</t>
  </si>
  <si>
    <t>SplashBI</t>
  </si>
  <si>
    <t>Report Name</t>
  </si>
  <si>
    <t>Report Filters</t>
  </si>
  <si>
    <t>Copy of Summary Receipts by Customer</t>
  </si>
  <si>
    <t xml:space="preserve">Opearting Unit </t>
  </si>
  <si>
    <t xml:space="preserve"> Vision Operations</t>
  </si>
  <si>
    <t xml:space="preserve">Customer Name </t>
  </si>
  <si>
    <t xml:space="preserve"> World of Business</t>
  </si>
  <si>
    <t xml:space="preserve">Customer Number </t>
  </si>
  <si>
    <t xml:space="preserve"> 1000</t>
  </si>
  <si>
    <t>Report Summary</t>
  </si>
  <si>
    <t>Submitted By</t>
  </si>
  <si>
    <t>NEHA.PANDA</t>
  </si>
  <si>
    <t>Responsibility Name</t>
  </si>
  <si>
    <t>Receivables Inquiry</t>
  </si>
  <si>
    <t>Domain Name</t>
  </si>
  <si>
    <t>Receivables</t>
  </si>
  <si>
    <t xml:space="preserve"> 9924</t>
  </si>
  <si>
    <t>Process Id</t>
  </si>
  <si>
    <t>2025-07-15 15:27:37 IST</t>
  </si>
  <si>
    <t>Request Date</t>
  </si>
  <si>
    <t>Actual Start Date</t>
  </si>
  <si>
    <t>2025-07-15 15:27:39 IST</t>
  </si>
  <si>
    <t>Actual Completion Date</t>
  </si>
  <si>
    <t>7</t>
  </si>
  <si>
    <t>Row Count</t>
  </si>
  <si>
    <t>World of Business</t>
  </si>
  <si>
    <t>1000</t>
  </si>
  <si>
    <t>1009879</t>
  </si>
  <si>
    <t>CASH</t>
  </si>
  <si>
    <t>REV</t>
  </si>
  <si>
    <t>USD</t>
  </si>
  <si>
    <t>Manual Receipts - BofA</t>
  </si>
  <si>
    <t>San Jose (OPS)</t>
  </si>
  <si>
    <t>REVERSED</t>
  </si>
  <si>
    <t>Vision Operations</t>
  </si>
  <si>
    <t>1011118</t>
  </si>
  <si>
    <t>1011627</t>
  </si>
  <si>
    <t>APP</t>
  </si>
  <si>
    <t>CLEARED</t>
  </si>
  <si>
    <t>1013500</t>
  </si>
  <si>
    <t>102222</t>
  </si>
  <si>
    <t>DEM</t>
  </si>
  <si>
    <t>12</t>
  </si>
  <si>
    <t>900001</t>
  </si>
  <si>
    <t xml:space="preserve">Net Amount 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</si>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</sst>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,##0.00_);[Red]\(#,##0.00\)"/>
    <numFmt numFmtId="165" formatCode="dd\-mmm\-yyyy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5"/>
      <color theme="1"/>
      <name val="Times New Roman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indexed="9"/>
      <name val="Arial"/>
      <family val="2"/>
    </font>
    <font>
      <i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165" fontId="3" fillId="0" borderId="0" xfId="0" applyNumberFormat="1" applyFont="1"/>
    <xf numFmtId="164" fontId="3" fillId="0" borderId="0" xfId="0" applyNumberFormat="1" applyFont="1"/>
    <xf numFmtId="0" fontId="0" fillId="3" borderId="0" xfId="0" applyFill="1"/>
    <xf numFmtId="0" fontId="1" fillId="3" borderId="0" xfId="0" applyFont="1" applyFill="1"/>
    <xf numFmtId="0" fontId="6" fillId="4" borderId="0" xfId="0" applyFont="1" applyFill="1" applyBorder="1"/>
    <xf numFmtId="0" fontId="6" fillId="4" borderId="0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6" fillId="4" borderId="1" xfId="0" applyFont="1" applyFill="1" applyBorder="1" applyAlignment="1">
      <alignment horizontal="left"/>
    </xf>
    <xf numFmtId="164" fontId="4" fillId="0" borderId="1" xfId="0" applyNumberFormat="1" applyFont="1" applyBorder="1"/>
    <xf numFmtId="0" fontId="3" fillId="0" borderId="2" xfId="0" pivotButton="1" applyFont="1" applyBorder="1"/>
    <xf numFmtId="0" fontId="3" fillId="0" borderId="2" xfId="0" applyFont="1" applyBorder="1"/>
    <xf numFmtId="0" fontId="4" fillId="0" borderId="1" xfId="0" applyFont="1" applyBorder="1" applyAlignment="1">
      <alignment horizontal="left"/>
    </xf>
    <xf numFmtId="0" fontId="7" fillId="5" borderId="0" xfId="0" applyFont="1" applyFill="1" applyAlignment="1">
      <alignment horizontal="left"/>
    </xf>
    <xf numFmtId="164" fontId="4" fillId="5" borderId="0" xfId="0" applyNumberFormat="1" applyFont="1" applyFill="1"/>
    <xf numFmtId="0" fontId="4" fillId="0" borderId="1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8"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FFCC"/>
      <rgbColor rgb="0099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5994.440016435183" createdVersion="3" refreshedVersion="8" recordCount="7" xr:uid="{00000000-000A-0000-FFFF-FFFF04000000}">
  <cacheSource type="worksheet">
    <worksheetSource ref="A1:Y7" sheet="Data"/>
  </cacheSource>
  <cacheFields count="25">
    <cacheField name="Customer Name" numFmtId="0">
      <sharedItems/>
    </cacheField>
    <cacheField name="Customer Number" numFmtId="0">
      <sharedItems/>
    </cacheField>
    <cacheField name="Receipt Number" numFmtId="0">
      <sharedItems/>
    </cacheField>
    <cacheField name="Receipt Date" numFmtId="165">
      <sharedItems containsSemiMixedTypes="0" containsNonDate="0" containsDate="1" containsString="0" minDate="1997-12-11T00:00:00" maxDate="1998-11-05T00:00:00"/>
    </cacheField>
    <cacheField name="Type" numFmtId="0">
      <sharedItems/>
    </cacheField>
    <cacheField name="Receipt Status" numFmtId="0">
      <sharedItems/>
    </cacheField>
    <cacheField name="Currency Code" numFmtId="0">
      <sharedItems/>
    </cacheField>
    <cacheField name="Functional Amount" numFmtId="164">
      <sharedItems containsSemiMixedTypes="0" containsString="0" containsNumber="1" minValue="1742.91" maxValue="12000000"/>
    </cacheField>
    <cacheField name="Amount" numFmtId="164">
      <sharedItems containsSemiMixedTypes="0" containsString="0" containsNumber="1" minValue="1742.91" maxValue="12000000"/>
    </cacheField>
    <cacheField name="Net Amount" numFmtId="164">
      <sharedItems containsSemiMixedTypes="0" containsString="0" containsNumber="1" minValue="1742.91" maxValue="12000000"/>
    </cacheField>
    <cacheField name="Customer Receipt Reference" numFmtId="0">
      <sharedItems containsNonDate="0" containsString="0" containsBlank="1"/>
    </cacheField>
    <cacheField name="Payment Type Code" numFmtId="0">
      <sharedItems containsNonDate="0" containsString="0" containsBlank="1"/>
    </cacheField>
    <cacheField name="Receipt Class Dsp" numFmtId="0">
      <sharedItems/>
    </cacheField>
    <cacheField name="Location" numFmtId="0">
      <sharedItems/>
    </cacheField>
    <cacheField name="Customer Bank Name" numFmtId="0">
      <sharedItems containsNonDate="0" containsString="0" containsBlank="1"/>
    </cacheField>
    <cacheField name="Customer Bank Account" numFmtId="0">
      <sharedItems containsNonDate="0" containsString="0" containsBlank="1"/>
    </cacheField>
    <cacheField name="Customer Bank Account Num" numFmtId="0">
      <sharedItems containsNonDate="0" containsString="0" containsBlank="1"/>
    </cacheField>
    <cacheField name="Customer Bank Branch" numFmtId="0">
      <sharedItems containsNonDate="0" containsString="0" containsBlank="1"/>
    </cacheField>
    <cacheField name="Batch Name" numFmtId="0">
      <sharedItems containsBlank="1"/>
    </cacheField>
    <cacheField name="State" numFmtId="0">
      <sharedItems containsBlank="1" count="3">
        <s v="REVERSED"/>
        <s v="CLEARED"/>
        <m u="1"/>
      </sharedItems>
    </cacheField>
    <cacheField name="Posted Date" numFmtId="165">
      <sharedItems containsSemiMixedTypes="0" containsNonDate="0" containsDate="1" containsString="0" minDate="1998-06-01T00:00:00" maxDate="1999-10-01T00:00:00"/>
    </cacheField>
    <cacheField name="Gl Posted Date" numFmtId="165">
      <sharedItems containsSemiMixedTypes="0" containsNonDate="0" containsDate="1" containsString="0" minDate="1998-06-01T00:00:00" maxDate="1999-10-01T00:00:00"/>
    </cacheField>
    <cacheField name="Activity" numFmtId="0">
      <sharedItems containsNonDate="0" containsString="0" containsBlank="1"/>
    </cacheField>
    <cacheField name="Tax Code Source" numFmtId="0">
      <sharedItems containsNonDate="0" containsString="0" containsBlank="1"/>
    </cacheField>
    <cacheField name="Operating Un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5994.440016666667" createdVersion="3" refreshedVersion="8" recordCount="7" xr:uid="{00000000-000A-0000-FFFF-FFFF03000000}">
  <cacheSource type="worksheet">
    <worksheetSource ref="A1:Y7" sheet="Data"/>
  </cacheSource>
  <cacheFields count="25">
    <cacheField name="Customer Name" numFmtId="0">
      <sharedItems containsBlank="1" count="2">
        <s v="World of Business"/>
        <m u="1"/>
      </sharedItems>
    </cacheField>
    <cacheField name="Customer Number" numFmtId="0">
      <sharedItems/>
    </cacheField>
    <cacheField name="Receipt Number" numFmtId="0">
      <sharedItems/>
    </cacheField>
    <cacheField name="Receipt Date" numFmtId="165">
      <sharedItems containsSemiMixedTypes="0" containsNonDate="0" containsDate="1" containsString="0" minDate="1997-12-11T00:00:00" maxDate="1998-11-05T00:00:00"/>
    </cacheField>
    <cacheField name="Type" numFmtId="0">
      <sharedItems/>
    </cacheField>
    <cacheField name="Receipt Status" numFmtId="0">
      <sharedItems/>
    </cacheField>
    <cacheField name="Currency Code" numFmtId="0">
      <sharedItems/>
    </cacheField>
    <cacheField name="Functional Amount" numFmtId="164">
      <sharedItems containsSemiMixedTypes="0" containsString="0" containsNumber="1" minValue="1742.91" maxValue="12000000"/>
    </cacheField>
    <cacheField name="Amount" numFmtId="164">
      <sharedItems containsSemiMixedTypes="0" containsString="0" containsNumber="1" minValue="1742.91" maxValue="12000000"/>
    </cacheField>
    <cacheField name="Net Amount" numFmtId="164">
      <sharedItems containsSemiMixedTypes="0" containsString="0" containsNumber="1" minValue="1742.91" maxValue="12000000"/>
    </cacheField>
    <cacheField name="Customer Receipt Reference" numFmtId="0">
      <sharedItems containsNonDate="0" containsString="0" containsBlank="1"/>
    </cacheField>
    <cacheField name="Payment Type Code" numFmtId="0">
      <sharedItems containsNonDate="0" containsString="0" containsBlank="1"/>
    </cacheField>
    <cacheField name="Receipt Class Dsp" numFmtId="0">
      <sharedItems/>
    </cacheField>
    <cacheField name="Location" numFmtId="0">
      <sharedItems/>
    </cacheField>
    <cacheField name="Customer Bank Name" numFmtId="0">
      <sharedItems containsNonDate="0" containsString="0" containsBlank="1"/>
    </cacheField>
    <cacheField name="Customer Bank Account" numFmtId="0">
      <sharedItems containsNonDate="0" containsString="0" containsBlank="1"/>
    </cacheField>
    <cacheField name="Customer Bank Account Num" numFmtId="0">
      <sharedItems containsNonDate="0" containsString="0" containsBlank="1"/>
    </cacheField>
    <cacheField name="Customer Bank Branch" numFmtId="0">
      <sharedItems containsNonDate="0" containsString="0" containsBlank="1"/>
    </cacheField>
    <cacheField name="Batch Name" numFmtId="0">
      <sharedItems containsBlank="1"/>
    </cacheField>
    <cacheField name="State" numFmtId="0">
      <sharedItems/>
    </cacheField>
    <cacheField name="Posted Date" numFmtId="165">
      <sharedItems containsSemiMixedTypes="0" containsNonDate="0" containsDate="1" containsString="0" minDate="1998-06-01T00:00:00" maxDate="1999-10-01T00:00:00"/>
    </cacheField>
    <cacheField name="Gl Posted Date" numFmtId="165">
      <sharedItems containsSemiMixedTypes="0" containsNonDate="0" containsDate="1" containsString="0" minDate="1998-06-01T00:00:00" maxDate="1999-10-01T00:00:00"/>
    </cacheField>
    <cacheField name="Activity" numFmtId="0">
      <sharedItems containsNonDate="0" containsString="0" containsBlank="1"/>
    </cacheField>
    <cacheField name="Tax Code Source" numFmtId="0">
      <sharedItems containsNonDate="0" containsString="0" containsBlank="1"/>
    </cacheField>
    <cacheField name="Operating Un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5994.440016666667" createdVersion="3" refreshedVersion="8" recordCount="7" xr:uid="{00000000-000A-0000-FFFF-FFFF02000000}">
  <cacheSource type="worksheet">
    <worksheetSource ref="A1:Y7" sheet="Data"/>
  </cacheSource>
  <cacheFields count="25">
    <cacheField name="Customer Name" numFmtId="0">
      <sharedItems containsBlank="1" count="2">
        <s v="World of Business"/>
        <m u="1"/>
      </sharedItems>
    </cacheField>
    <cacheField name="Customer Number" numFmtId="0">
      <sharedItems containsBlank="1" count="2">
        <s v="1000"/>
        <m u="1"/>
      </sharedItems>
    </cacheField>
    <cacheField name="Receipt Number" numFmtId="0">
      <sharedItems containsBlank="1" count="8">
        <s v="1009879"/>
        <s v="1011118"/>
        <s v="1011627"/>
        <s v="1013500"/>
        <s v="102222"/>
        <s v="12"/>
        <s v="893745987"/>
        <m u="1"/>
      </sharedItems>
    </cacheField>
    <cacheField name="Receipt Date" numFmtId="165">
      <sharedItems containsNonDate="0" containsDate="1" containsString="0" containsBlank="1" minDate="1997-12-11T00:00:00" maxDate="1998-11-05T00:00:00" count="8">
        <d v="1998-10-01T00:00:00"/>
        <d v="1998-04-01T00:00:00"/>
        <d v="1998-06-27T00:00:00"/>
        <d v="1998-11-04T00:00:00"/>
        <d v="1997-12-21T00:00:00"/>
        <d v="1998-01-24T00:00:00"/>
        <d v="1997-12-11T00:00:00"/>
        <m u="1"/>
      </sharedItems>
    </cacheField>
    <cacheField name="Type" numFmtId="0">
      <sharedItems containsBlank="1" count="2">
        <s v="CASH"/>
        <m u="1"/>
      </sharedItems>
    </cacheField>
    <cacheField name="Receipt Status" numFmtId="0">
      <sharedItems/>
    </cacheField>
    <cacheField name="Currency Code" numFmtId="0">
      <sharedItems containsBlank="1" count="3">
        <s v="USD"/>
        <s v="DEM"/>
        <m u="1"/>
      </sharedItems>
    </cacheField>
    <cacheField name="Functional Amount" numFmtId="164">
      <sharedItems containsSemiMixedTypes="0" containsString="0" containsNumber="1" minValue="1742.91" maxValue="12000000"/>
    </cacheField>
    <cacheField name="Amount" numFmtId="164">
      <sharedItems containsSemiMixedTypes="0" containsString="0" containsNumber="1" minValue="1742.91" maxValue="12000000"/>
    </cacheField>
    <cacheField name="Net Amount" numFmtId="164">
      <sharedItems containsSemiMixedTypes="0" containsString="0" containsNumber="1" minValue="1742.91" maxValue="12000000"/>
    </cacheField>
    <cacheField name="Customer Receipt Reference" numFmtId="0">
      <sharedItems containsNonDate="0" containsString="0" containsBlank="1" count="1">
        <m/>
      </sharedItems>
    </cacheField>
    <cacheField name="Payment Type Code" numFmtId="0">
      <sharedItems containsNonDate="0" containsString="0" containsBlank="1" count="1">
        <m/>
      </sharedItems>
    </cacheField>
    <cacheField name="Receipt Class Dsp" numFmtId="0">
      <sharedItems containsBlank="1" count="2">
        <s v="Manual Receipts - BofA"/>
        <m u="1"/>
      </sharedItems>
    </cacheField>
    <cacheField name="Location" numFmtId="0">
      <sharedItems containsBlank="1" count="2">
        <s v="San Jose (OPS)"/>
        <m u="1"/>
      </sharedItems>
    </cacheField>
    <cacheField name="Customer Bank Name" numFmtId="0">
      <sharedItems containsNonDate="0" containsString="0" containsBlank="1"/>
    </cacheField>
    <cacheField name="Customer Bank Account" numFmtId="0">
      <sharedItems containsNonDate="0" containsString="0" containsBlank="1"/>
    </cacheField>
    <cacheField name="Customer Bank Account Num" numFmtId="0">
      <sharedItems containsNonDate="0" containsString="0" containsBlank="1"/>
    </cacheField>
    <cacheField name="Customer Bank Branch" numFmtId="0">
      <sharedItems containsNonDate="0" containsString="0" containsBlank="1"/>
    </cacheField>
    <cacheField name="Batch Name" numFmtId="0">
      <sharedItems containsBlank="1" count="2">
        <m/>
        <s v="900001"/>
      </sharedItems>
    </cacheField>
    <cacheField name="State" numFmtId="0">
      <sharedItems containsBlank="1" count="3">
        <s v="REVERSED"/>
        <s v="CLEARED"/>
        <m u="1"/>
      </sharedItems>
    </cacheField>
    <cacheField name="Posted Date" numFmtId="165">
      <sharedItems containsNonDate="0" containsDate="1" containsString="0" containsBlank="1" minDate="1998-06-01T00:00:00" maxDate="1999-10-01T00:00:00" count="5">
        <d v="1998-10-31T00:00:00"/>
        <d v="1999-09-30T00:00:00"/>
        <d v="1998-06-01T00:00:00"/>
        <d v="1998-11-30T00:00:00"/>
        <m u="1"/>
      </sharedItems>
    </cacheField>
    <cacheField name="Gl Posted Date" numFmtId="165">
      <sharedItems containsNonDate="0" containsDate="1" containsString="0" containsBlank="1" minDate="1998-06-01T00:00:00" maxDate="1999-10-01T00:00:00" count="5">
        <d v="1998-10-31T00:00:00"/>
        <d v="1999-09-30T00:00:00"/>
        <d v="1998-06-01T00:00:00"/>
        <d v="1998-11-30T00:00:00"/>
        <m u="1"/>
      </sharedItems>
    </cacheField>
    <cacheField name="Activity" numFmtId="0">
      <sharedItems containsNonDate="0" containsString="0" containsBlank="1" count="1">
        <m/>
      </sharedItems>
    </cacheField>
    <cacheField name="Tax Code Source" numFmtId="0">
      <sharedItems containsNonDate="0" containsString="0" containsBlank="1"/>
    </cacheField>
    <cacheField name="Operating Unit" numFmtId="0">
      <sharedItems containsBlank="1" count="2">
        <s v="Vision Operations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5994.440016782406" createdVersion="3" refreshedVersion="8" recordCount="7" xr:uid="{00000000-000A-0000-FFFF-FFFF01000000}">
  <cacheSource type="worksheet">
    <worksheetSource ref="A1:Y7" sheet="Data"/>
  </cacheSource>
  <cacheFields count="25">
    <cacheField name="Customer Name" numFmtId="0">
      <sharedItems containsBlank="1" count="2">
        <s v="World of Business"/>
        <m u="1"/>
      </sharedItems>
    </cacheField>
    <cacheField name="Customer Number" numFmtId="0">
      <sharedItems containsBlank="1" count="2">
        <s v="1000"/>
        <m u="1"/>
      </sharedItems>
    </cacheField>
    <cacheField name="Receipt Number" numFmtId="0">
      <sharedItems containsBlank="1" count="8">
        <s v="1009879"/>
        <s v="1011118"/>
        <s v="1011627"/>
        <s v="1013500"/>
        <s v="102222"/>
        <s v="12"/>
        <s v="893745987"/>
        <m u="1"/>
      </sharedItems>
    </cacheField>
    <cacheField name="Receipt Date" numFmtId="165">
      <sharedItems containsNonDate="0" containsDate="1" containsString="0" containsBlank="1" minDate="1997-12-11T00:00:00" maxDate="1998-11-05T00:00:00" count="8">
        <d v="1998-10-01T00:00:00"/>
        <d v="1998-04-01T00:00:00"/>
        <d v="1998-06-27T00:00:00"/>
        <d v="1998-11-04T00:00:00"/>
        <d v="1997-12-21T00:00:00"/>
        <d v="1998-01-24T00:00:00"/>
        <d v="1997-12-11T00:00:00"/>
        <m u="1"/>
      </sharedItems>
    </cacheField>
    <cacheField name="Type" numFmtId="0">
      <sharedItems containsBlank="1" count="2">
        <s v="CASH"/>
        <m u="1"/>
      </sharedItems>
    </cacheField>
    <cacheField name="Receipt Status" numFmtId="0">
      <sharedItems containsBlank="1" count="3">
        <s v="REV"/>
        <s v="APP"/>
        <m u="1"/>
      </sharedItems>
    </cacheField>
    <cacheField name="Currency Code" numFmtId="0">
      <sharedItems containsBlank="1" count="3">
        <s v="USD"/>
        <s v="DEM"/>
        <m u="1"/>
      </sharedItems>
    </cacheField>
    <cacheField name="Functional Amount" numFmtId="164">
      <sharedItems containsSemiMixedTypes="0" containsString="0" containsNumber="1" minValue="1742.91" maxValue="12000000"/>
    </cacheField>
    <cacheField name="Amount" numFmtId="164">
      <sharedItems containsSemiMixedTypes="0" containsString="0" containsNumber="1" minValue="1742.91" maxValue="12000000"/>
    </cacheField>
    <cacheField name="Net Amount" numFmtId="164">
      <sharedItems containsString="0" containsBlank="1" containsNumber="1" minValue="1742.91" maxValue="12000000" count="8">
        <n v="880801.75"/>
        <n v="12000000"/>
        <n v="2000000"/>
        <n v="1742.91"/>
        <n v="6500"/>
        <n v="5000"/>
        <n v="10000"/>
        <m u="1"/>
      </sharedItems>
    </cacheField>
    <cacheField name="Customer Receipt Reference" numFmtId="0">
      <sharedItems containsNonDate="0" containsString="0" containsBlank="1" count="1">
        <m/>
      </sharedItems>
    </cacheField>
    <cacheField name="Payment Type Code" numFmtId="0">
      <sharedItems containsNonDate="0" containsString="0" containsBlank="1" count="1">
        <m/>
      </sharedItems>
    </cacheField>
    <cacheField name="Receipt Class Dsp" numFmtId="0">
      <sharedItems containsBlank="1" count="2">
        <s v="Manual Receipts - BofA"/>
        <m u="1"/>
      </sharedItems>
    </cacheField>
    <cacheField name="Location" numFmtId="0">
      <sharedItems containsBlank="1" count="2">
        <s v="San Jose (OPS)"/>
        <m u="1"/>
      </sharedItems>
    </cacheField>
    <cacheField name="Customer Bank Name" numFmtId="0">
      <sharedItems containsNonDate="0" containsString="0" containsBlank="1"/>
    </cacheField>
    <cacheField name="Customer Bank Account" numFmtId="0">
      <sharedItems containsNonDate="0" containsString="0" containsBlank="1"/>
    </cacheField>
    <cacheField name="Customer Bank Account Num" numFmtId="0">
      <sharedItems containsNonDate="0" containsString="0" containsBlank="1"/>
    </cacheField>
    <cacheField name="Customer Bank Branch" numFmtId="0">
      <sharedItems containsNonDate="0" containsString="0" containsBlank="1"/>
    </cacheField>
    <cacheField name="Batch Name" numFmtId="0">
      <sharedItems containsBlank="1" count="2">
        <m/>
        <s v="900001"/>
      </sharedItems>
    </cacheField>
    <cacheField name="State" numFmtId="0">
      <sharedItems/>
    </cacheField>
    <cacheField name="Posted Date" numFmtId="165">
      <sharedItems containsNonDate="0" containsDate="1" containsString="0" containsBlank="1" minDate="1998-06-01T00:00:00" maxDate="1999-10-01T00:00:00" count="5">
        <d v="1998-10-31T00:00:00"/>
        <d v="1999-09-30T00:00:00"/>
        <d v="1998-06-01T00:00:00"/>
        <d v="1998-11-30T00:00:00"/>
        <m u="1"/>
      </sharedItems>
    </cacheField>
    <cacheField name="Gl Posted Date" numFmtId="165">
      <sharedItems containsNonDate="0" containsDate="1" containsString="0" containsBlank="1" minDate="1998-06-01T00:00:00" maxDate="1999-10-01T00:00:00" count="5">
        <d v="1998-10-31T00:00:00"/>
        <d v="1999-09-30T00:00:00"/>
        <d v="1998-06-01T00:00:00"/>
        <d v="1998-11-30T00:00:00"/>
        <m u="1"/>
      </sharedItems>
    </cacheField>
    <cacheField name="Activity" numFmtId="0">
      <sharedItems containsNonDate="0" containsString="0" containsBlank="1" count="1">
        <m/>
      </sharedItems>
    </cacheField>
    <cacheField name="Tax Code Source" numFmtId="0">
      <sharedItems containsNonDate="0" containsString="0" containsBlank="1"/>
    </cacheField>
    <cacheField name="Operating Unit" numFmtId="0">
      <sharedItems containsBlank="1" count="2">
        <s v="Vision Operations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World of Business"/>
    <s v="1000"/>
    <s v="1009879"/>
    <d v="1998-10-01T00:00:00"/>
    <s v="CASH"/>
    <s v="REV"/>
    <s v="USD"/>
    <n v="880801.75"/>
    <n v="880801.75"/>
    <n v="880801.75"/>
    <m/>
    <m/>
    <s v="Manual Receipts - BofA"/>
    <s v="San Jose (OPS)"/>
    <m/>
    <m/>
    <m/>
    <m/>
    <m/>
    <x v="0"/>
    <d v="1998-10-31T00:00:00"/>
    <d v="1998-10-31T00:00:00"/>
    <m/>
    <m/>
    <s v="Vision Operations"/>
  </r>
  <r>
    <s v="World of Business"/>
    <s v="1000"/>
    <s v="1011118"/>
    <d v="1998-04-01T00:00:00"/>
    <s v="CASH"/>
    <s v="REV"/>
    <s v="USD"/>
    <n v="12000000"/>
    <n v="12000000"/>
    <n v="12000000"/>
    <m/>
    <m/>
    <s v="Manual Receipts - BofA"/>
    <s v="San Jose (OPS)"/>
    <m/>
    <m/>
    <m/>
    <m/>
    <m/>
    <x v="0"/>
    <d v="1999-09-30T00:00:00"/>
    <d v="1999-09-30T00:00:00"/>
    <m/>
    <m/>
    <s v="Vision Operations"/>
  </r>
  <r>
    <s v="World of Business"/>
    <s v="1000"/>
    <s v="1011627"/>
    <d v="1998-06-27T00:00:00"/>
    <s v="CASH"/>
    <s v="APP"/>
    <s v="USD"/>
    <n v="2000000"/>
    <n v="2000000"/>
    <n v="2000000"/>
    <m/>
    <m/>
    <s v="Manual Receipts - BofA"/>
    <s v="San Jose (OPS)"/>
    <m/>
    <m/>
    <m/>
    <m/>
    <m/>
    <x v="1"/>
    <d v="1998-06-01T00:00:00"/>
    <d v="1998-06-01T00:00:00"/>
    <m/>
    <m/>
    <s v="Vision Operations"/>
  </r>
  <r>
    <s v="World of Business"/>
    <s v="1000"/>
    <s v="1013500"/>
    <d v="1998-11-04T00:00:00"/>
    <s v="CASH"/>
    <s v="REV"/>
    <s v="USD"/>
    <n v="1742.91"/>
    <n v="1742.91"/>
    <n v="1742.91"/>
    <m/>
    <m/>
    <s v="Manual Receipts - BofA"/>
    <s v="San Jose (OPS)"/>
    <m/>
    <m/>
    <m/>
    <m/>
    <m/>
    <x v="0"/>
    <d v="1998-11-30T00:00:00"/>
    <d v="1998-11-30T00:00:00"/>
    <m/>
    <m/>
    <s v="Vision Operations"/>
  </r>
  <r>
    <s v="World of Business"/>
    <s v="1000"/>
    <s v="102222"/>
    <d v="1997-12-21T00:00:00"/>
    <s v="CASH"/>
    <s v="REV"/>
    <s v="DEM"/>
    <n v="4062.5"/>
    <n v="6500"/>
    <n v="6500"/>
    <m/>
    <m/>
    <s v="Manual Receipts - BofA"/>
    <s v="San Jose (OPS)"/>
    <m/>
    <m/>
    <m/>
    <m/>
    <m/>
    <x v="0"/>
    <d v="1999-09-30T00:00:00"/>
    <d v="1999-09-30T00:00:00"/>
    <m/>
    <m/>
    <s v="Vision Operations"/>
  </r>
  <r>
    <s v="World of Business"/>
    <s v="1000"/>
    <s v="12"/>
    <d v="1998-01-24T00:00:00"/>
    <s v="CASH"/>
    <s v="REV"/>
    <s v="USD"/>
    <n v="5000"/>
    <n v="5000"/>
    <n v="5000"/>
    <m/>
    <m/>
    <s v="Manual Receipts - BofA"/>
    <s v="San Jose (OPS)"/>
    <m/>
    <m/>
    <m/>
    <m/>
    <s v="900001"/>
    <x v="0"/>
    <d v="1999-09-30T00:00:00"/>
    <d v="1999-09-30T00:00:00"/>
    <m/>
    <m/>
    <s v="Vision Operations"/>
  </r>
  <r>
    <s v="World of Business"/>
    <s v="1000"/>
    <s v="893745987"/>
    <d v="1997-12-11T00:00:00"/>
    <s v="CASH"/>
    <s v="REV"/>
    <s v="DEM"/>
    <n v="6250"/>
    <n v="10000"/>
    <n v="10000"/>
    <m/>
    <m/>
    <s v="Manual Receipts - BofA"/>
    <s v="San Jose (OPS)"/>
    <m/>
    <m/>
    <m/>
    <m/>
    <m/>
    <x v="0"/>
    <d v="1999-09-30T00:00:00"/>
    <d v="1999-09-30T00:00:00"/>
    <m/>
    <m/>
    <s v="Vision Operation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s v="1000"/>
    <s v="1009879"/>
    <d v="1998-10-01T00:00:00"/>
    <s v="CASH"/>
    <s v="REV"/>
    <s v="USD"/>
    <n v="880801.75"/>
    <n v="880801.75"/>
    <n v="880801.75"/>
    <m/>
    <m/>
    <s v="Manual Receipts - BofA"/>
    <s v="San Jose (OPS)"/>
    <m/>
    <m/>
    <m/>
    <m/>
    <m/>
    <s v="REVERSED"/>
    <d v="1998-10-31T00:00:00"/>
    <d v="1998-10-31T00:00:00"/>
    <m/>
    <m/>
    <s v="Vision Operations"/>
  </r>
  <r>
    <x v="0"/>
    <s v="1000"/>
    <s v="1011118"/>
    <d v="1998-04-01T00:00:00"/>
    <s v="CASH"/>
    <s v="REV"/>
    <s v="USD"/>
    <n v="12000000"/>
    <n v="12000000"/>
    <n v="12000000"/>
    <m/>
    <m/>
    <s v="Manual Receipts - BofA"/>
    <s v="San Jose (OPS)"/>
    <m/>
    <m/>
    <m/>
    <m/>
    <m/>
    <s v="REVERSED"/>
    <d v="1999-09-30T00:00:00"/>
    <d v="1999-09-30T00:00:00"/>
    <m/>
    <m/>
    <s v="Vision Operations"/>
  </r>
  <r>
    <x v="0"/>
    <s v="1000"/>
    <s v="1011627"/>
    <d v="1998-06-27T00:00:00"/>
    <s v="CASH"/>
    <s v="APP"/>
    <s v="USD"/>
    <n v="2000000"/>
    <n v="2000000"/>
    <n v="2000000"/>
    <m/>
    <m/>
    <s v="Manual Receipts - BofA"/>
    <s v="San Jose (OPS)"/>
    <m/>
    <m/>
    <m/>
    <m/>
    <m/>
    <s v="CLEARED"/>
    <d v="1998-06-01T00:00:00"/>
    <d v="1998-06-01T00:00:00"/>
    <m/>
    <m/>
    <s v="Vision Operations"/>
  </r>
  <r>
    <x v="0"/>
    <s v="1000"/>
    <s v="1013500"/>
    <d v="1998-11-04T00:00:00"/>
    <s v="CASH"/>
    <s v="REV"/>
    <s v="USD"/>
    <n v="1742.91"/>
    <n v="1742.91"/>
    <n v="1742.91"/>
    <m/>
    <m/>
    <s v="Manual Receipts - BofA"/>
    <s v="San Jose (OPS)"/>
    <m/>
    <m/>
    <m/>
    <m/>
    <m/>
    <s v="REVERSED"/>
    <d v="1998-11-30T00:00:00"/>
    <d v="1998-11-30T00:00:00"/>
    <m/>
    <m/>
    <s v="Vision Operations"/>
  </r>
  <r>
    <x v="0"/>
    <s v="1000"/>
    <s v="102222"/>
    <d v="1997-12-21T00:00:00"/>
    <s v="CASH"/>
    <s v="REV"/>
    <s v="DEM"/>
    <n v="4062.5"/>
    <n v="6500"/>
    <n v="6500"/>
    <m/>
    <m/>
    <s v="Manual Receipts - BofA"/>
    <s v="San Jose (OPS)"/>
    <m/>
    <m/>
    <m/>
    <m/>
    <m/>
    <s v="REVERSED"/>
    <d v="1999-09-30T00:00:00"/>
    <d v="1999-09-30T00:00:00"/>
    <m/>
    <m/>
    <s v="Vision Operations"/>
  </r>
  <r>
    <x v="0"/>
    <s v="1000"/>
    <s v="12"/>
    <d v="1998-01-24T00:00:00"/>
    <s v="CASH"/>
    <s v="REV"/>
    <s v="USD"/>
    <n v="5000"/>
    <n v="5000"/>
    <n v="5000"/>
    <m/>
    <m/>
    <s v="Manual Receipts - BofA"/>
    <s v="San Jose (OPS)"/>
    <m/>
    <m/>
    <m/>
    <m/>
    <s v="900001"/>
    <s v="REVERSED"/>
    <d v="1999-09-30T00:00:00"/>
    <d v="1999-09-30T00:00:00"/>
    <m/>
    <m/>
    <s v="Vision Operations"/>
  </r>
  <r>
    <x v="0"/>
    <s v="1000"/>
    <s v="893745987"/>
    <d v="1997-12-11T00:00:00"/>
    <s v="CASH"/>
    <s v="REV"/>
    <s v="DEM"/>
    <n v="6250"/>
    <n v="10000"/>
    <n v="10000"/>
    <m/>
    <m/>
    <s v="Manual Receipts - BofA"/>
    <s v="San Jose (OPS)"/>
    <m/>
    <m/>
    <m/>
    <m/>
    <m/>
    <s v="REVERSED"/>
    <d v="1999-09-30T00:00:00"/>
    <d v="1999-09-30T00:00:00"/>
    <m/>
    <m/>
    <s v="Vision Operation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x v="0"/>
    <x v="0"/>
    <s v="REV"/>
    <x v="0"/>
    <n v="880801.75"/>
    <n v="880801.75"/>
    <n v="880801.75"/>
    <x v="0"/>
    <x v="0"/>
    <x v="0"/>
    <x v="0"/>
    <m/>
    <m/>
    <m/>
    <m/>
    <x v="0"/>
    <x v="0"/>
    <x v="0"/>
    <x v="0"/>
    <x v="0"/>
    <m/>
    <x v="0"/>
  </r>
  <r>
    <x v="0"/>
    <x v="0"/>
    <x v="1"/>
    <x v="1"/>
    <x v="0"/>
    <s v="REV"/>
    <x v="0"/>
    <n v="12000000"/>
    <n v="12000000"/>
    <n v="12000000"/>
    <x v="0"/>
    <x v="0"/>
    <x v="0"/>
    <x v="0"/>
    <m/>
    <m/>
    <m/>
    <m/>
    <x v="0"/>
    <x v="0"/>
    <x v="1"/>
    <x v="1"/>
    <x v="0"/>
    <m/>
    <x v="0"/>
  </r>
  <r>
    <x v="0"/>
    <x v="0"/>
    <x v="2"/>
    <x v="2"/>
    <x v="0"/>
    <s v="APP"/>
    <x v="0"/>
    <n v="2000000"/>
    <n v="2000000"/>
    <n v="2000000"/>
    <x v="0"/>
    <x v="0"/>
    <x v="0"/>
    <x v="0"/>
    <m/>
    <m/>
    <m/>
    <m/>
    <x v="0"/>
    <x v="1"/>
    <x v="2"/>
    <x v="2"/>
    <x v="0"/>
    <m/>
    <x v="0"/>
  </r>
  <r>
    <x v="0"/>
    <x v="0"/>
    <x v="3"/>
    <x v="3"/>
    <x v="0"/>
    <s v="REV"/>
    <x v="0"/>
    <n v="1742.91"/>
    <n v="1742.91"/>
    <n v="1742.91"/>
    <x v="0"/>
    <x v="0"/>
    <x v="0"/>
    <x v="0"/>
    <m/>
    <m/>
    <m/>
    <m/>
    <x v="0"/>
    <x v="0"/>
    <x v="3"/>
    <x v="3"/>
    <x v="0"/>
    <m/>
    <x v="0"/>
  </r>
  <r>
    <x v="0"/>
    <x v="0"/>
    <x v="4"/>
    <x v="4"/>
    <x v="0"/>
    <s v="REV"/>
    <x v="1"/>
    <n v="4062.5"/>
    <n v="6500"/>
    <n v="6500"/>
    <x v="0"/>
    <x v="0"/>
    <x v="0"/>
    <x v="0"/>
    <m/>
    <m/>
    <m/>
    <m/>
    <x v="0"/>
    <x v="0"/>
    <x v="1"/>
    <x v="1"/>
    <x v="0"/>
    <m/>
    <x v="0"/>
  </r>
  <r>
    <x v="0"/>
    <x v="0"/>
    <x v="5"/>
    <x v="5"/>
    <x v="0"/>
    <s v="REV"/>
    <x v="0"/>
    <n v="5000"/>
    <n v="5000"/>
    <n v="5000"/>
    <x v="0"/>
    <x v="0"/>
    <x v="0"/>
    <x v="0"/>
    <m/>
    <m/>
    <m/>
    <m/>
    <x v="1"/>
    <x v="0"/>
    <x v="1"/>
    <x v="1"/>
    <x v="0"/>
    <m/>
    <x v="0"/>
  </r>
  <r>
    <x v="0"/>
    <x v="0"/>
    <x v="6"/>
    <x v="6"/>
    <x v="0"/>
    <s v="REV"/>
    <x v="1"/>
    <n v="6250"/>
    <n v="10000"/>
    <n v="10000"/>
    <x v="0"/>
    <x v="0"/>
    <x v="0"/>
    <x v="0"/>
    <m/>
    <m/>
    <m/>
    <m/>
    <x v="0"/>
    <x v="0"/>
    <x v="1"/>
    <x v="1"/>
    <x v="0"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x v="0"/>
    <x v="0"/>
    <x v="0"/>
    <x v="0"/>
    <n v="880801.75"/>
    <n v="880801.75"/>
    <x v="0"/>
    <x v="0"/>
    <x v="0"/>
    <x v="0"/>
    <x v="0"/>
    <m/>
    <m/>
    <m/>
    <m/>
    <x v="0"/>
    <s v="REVERSED"/>
    <x v="0"/>
    <x v="0"/>
    <x v="0"/>
    <m/>
    <x v="0"/>
  </r>
  <r>
    <x v="0"/>
    <x v="0"/>
    <x v="1"/>
    <x v="1"/>
    <x v="0"/>
    <x v="0"/>
    <x v="0"/>
    <n v="12000000"/>
    <n v="12000000"/>
    <x v="1"/>
    <x v="0"/>
    <x v="0"/>
    <x v="0"/>
    <x v="0"/>
    <m/>
    <m/>
    <m/>
    <m/>
    <x v="0"/>
    <s v="REVERSED"/>
    <x v="1"/>
    <x v="1"/>
    <x v="0"/>
    <m/>
    <x v="0"/>
  </r>
  <r>
    <x v="0"/>
    <x v="0"/>
    <x v="2"/>
    <x v="2"/>
    <x v="0"/>
    <x v="1"/>
    <x v="0"/>
    <n v="2000000"/>
    <n v="2000000"/>
    <x v="2"/>
    <x v="0"/>
    <x v="0"/>
    <x v="0"/>
    <x v="0"/>
    <m/>
    <m/>
    <m/>
    <m/>
    <x v="0"/>
    <s v="CLEARED"/>
    <x v="2"/>
    <x v="2"/>
    <x v="0"/>
    <m/>
    <x v="0"/>
  </r>
  <r>
    <x v="0"/>
    <x v="0"/>
    <x v="3"/>
    <x v="3"/>
    <x v="0"/>
    <x v="0"/>
    <x v="0"/>
    <n v="1742.91"/>
    <n v="1742.91"/>
    <x v="3"/>
    <x v="0"/>
    <x v="0"/>
    <x v="0"/>
    <x v="0"/>
    <m/>
    <m/>
    <m/>
    <m/>
    <x v="0"/>
    <s v="REVERSED"/>
    <x v="3"/>
    <x v="3"/>
    <x v="0"/>
    <m/>
    <x v="0"/>
  </r>
  <r>
    <x v="0"/>
    <x v="0"/>
    <x v="4"/>
    <x v="4"/>
    <x v="0"/>
    <x v="0"/>
    <x v="1"/>
    <n v="4062.5"/>
    <n v="6500"/>
    <x v="4"/>
    <x v="0"/>
    <x v="0"/>
    <x v="0"/>
    <x v="0"/>
    <m/>
    <m/>
    <m/>
    <m/>
    <x v="0"/>
    <s v="REVERSED"/>
    <x v="1"/>
    <x v="1"/>
    <x v="0"/>
    <m/>
    <x v="0"/>
  </r>
  <r>
    <x v="0"/>
    <x v="0"/>
    <x v="5"/>
    <x v="5"/>
    <x v="0"/>
    <x v="0"/>
    <x v="0"/>
    <n v="5000"/>
    <n v="5000"/>
    <x v="5"/>
    <x v="0"/>
    <x v="0"/>
    <x v="0"/>
    <x v="0"/>
    <m/>
    <m/>
    <m/>
    <m/>
    <x v="1"/>
    <s v="REVERSED"/>
    <x v="1"/>
    <x v="1"/>
    <x v="0"/>
    <m/>
    <x v="0"/>
  </r>
  <r>
    <x v="0"/>
    <x v="0"/>
    <x v="6"/>
    <x v="6"/>
    <x v="0"/>
    <x v="0"/>
    <x v="1"/>
    <n v="6250"/>
    <n v="10000"/>
    <x v="6"/>
    <x v="0"/>
    <x v="0"/>
    <x v="0"/>
    <x v="0"/>
    <m/>
    <m/>
    <m/>
    <m/>
    <x v="0"/>
    <s v="REVERSED"/>
    <x v="1"/>
    <x v="1"/>
    <x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-Summ Receipts by Custom" cacheId="50" autoFormatId="4096" applyNumberFormats="1" applyBorderFormats="1" applyFontFormats="1" applyPatternFormats="1" applyAlignmentFormats="1" applyWidthHeightFormats="1" dataCaption="Data" updatedVersion="8" useAutoFormatting="1" pageWrap="14" colGrandTotals="0" itemPrintTitles="1" createdVersion="4" compact="0" compactData="0" gridDropZones="1">
  <location ref="A16:I21" firstHeaderRow="1" firstDataRow="1" firstDataCol="3" rowPageCount="14" colPageCount="1"/>
  <pivotFields count="25">
    <pivotField axis="axisRow" compact="0" showAll="0" sortType="ascending">
      <items count="3">
        <item x="0"/>
        <item m="1" x="1"/>
        <item t="default"/>
      </items>
    </pivotField>
    <pivotField axis="axisPage" compact="0" showAll="0">
      <items count="3">
        <item m="1" x="1"/>
        <item x="0"/>
        <item t="default"/>
      </items>
    </pivotField>
    <pivotField axis="axisPage" compact="0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axis="axisPage" compact="0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axis="axisPage" compact="0" showAll="0">
      <items count="3">
        <item m="1" x="1"/>
        <item x="0"/>
        <item t="default"/>
      </items>
    </pivotField>
    <pivotField axis="axisPage" compact="0" showAll="0">
      <items count="4">
        <item m="1" x="2"/>
        <item x="0"/>
        <item x="1"/>
        <item t="default"/>
      </items>
    </pivotField>
    <pivotField axis="axisPage" compact="0" showAll="0">
      <items count="4">
        <item m="1" x="2"/>
        <item x="0"/>
        <item x="1"/>
        <item t="default"/>
      </items>
    </pivotField>
    <pivotField compact="0" showAll="0"/>
    <pivotField compact="0" showAll="0"/>
    <pivotField axis="axisPage" compact="0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Row" compact="0" showAll="0" insertBlankRow="1" sortType="ascending">
      <items count="3">
        <item x="0"/>
        <item m="1" x="1"/>
        <item t="default"/>
      </items>
    </pivotField>
    <pivotField axis="axisPage" compact="0" showAll="0">
      <items count="3">
        <item m="1" x="1"/>
        <item x="0"/>
        <item t="default"/>
      </items>
    </pivotField>
    <pivotField compact="0" showAll="0"/>
    <pivotField compact="0" showAll="0"/>
    <pivotField compact="0" showAll="0"/>
    <pivotField compact="0" showAll="0"/>
    <pivotField axis="axisPage" compact="0" showAll="0">
      <items count="3">
        <item x="0"/>
        <item x="1"/>
        <item t="default"/>
      </items>
    </pivotField>
    <pivotField compact="0" showAll="0"/>
    <pivotField axis="axisPage" compact="0" showAll="0">
      <items count="6">
        <item m="1" x="4"/>
        <item x="0"/>
        <item x="1"/>
        <item x="2"/>
        <item x="3"/>
        <item t="default"/>
      </items>
    </pivotField>
    <pivotField axis="axisPage" compact="0" showAll="0">
      <items count="6">
        <item m="1" x="4"/>
        <item x="0"/>
        <item x="1"/>
        <item x="2"/>
        <item x="3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axis="axisRow" compact="0" showAll="0" sortType="ascending">
      <items count="3">
        <item x="0"/>
        <item m="1" x="1"/>
        <item t="default"/>
      </items>
    </pivotField>
  </pivotFields>
  <rowFields count="3">
    <field x="12"/>
    <field x="24"/>
    <field x="0"/>
  </rowFields>
  <rowItems count="5">
    <i>
      <x/>
    </i>
    <i r="1">
      <x/>
    </i>
    <i r="2">
      <x/>
    </i>
    <i t="blank">
      <x/>
    </i>
    <i t="grand">
      <x/>
    </i>
  </rowItems>
  <colItems count="1">
    <i/>
  </colItems>
  <pageFields count="14">
    <pageField fld="10" hier="0"/>
    <pageField fld="11" hier="0"/>
    <pageField fld="5" hier="0"/>
    <pageField fld="4" hier="0"/>
    <pageField fld="6" hier="0"/>
    <pageField fld="3" hier="0"/>
    <pageField fld="1" hier="0"/>
    <pageField fld="13" hier="0"/>
    <pageField fld="18" hier="0"/>
    <pageField fld="20" hier="0"/>
    <pageField fld="22" hier="0"/>
    <pageField fld="21" hier="0"/>
    <pageField fld="2" hier="0"/>
    <pageField fld="9" hier="0"/>
  </pageFields>
  <formats count="1">
    <format dxfId="7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-Fixed" cacheId="30" autoFormatId="4096" applyNumberFormats="1" applyBorderFormats="1" applyFontFormats="1" applyPatternFormats="1" applyAlignmentFormats="1" applyWidthHeightFormats="1" dataCaption="Data" updatedVersion="8" useAutoFormatting="1" pageWrap="12" colGrandTotals="0" itemPrintTitles="1" createdVersion="4" compact="0" compactData="0" gridDropZones="1">
  <location ref="A14:E21" firstHeaderRow="1" firstDataRow="1" firstDataCol="4" rowPageCount="12" colPageCount="1"/>
  <pivotFields count="25">
    <pivotField axis="axisRow" compact="0" showAll="0" insertBlankRow="1" sortType="ascending">
      <items count="3">
        <item x="0"/>
        <item m="1" x="1"/>
        <item t="default"/>
      </items>
    </pivotField>
    <pivotField axis="axisPage" compact="0" showAll="0">
      <items count="3">
        <item m="1" x="1"/>
        <item x="0"/>
        <item t="default"/>
      </items>
    </pivotField>
    <pivotField axis="axisPage" compact="0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axis="axisPage" compact="0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axis="axisPage" compact="0" showAll="0">
      <items count="3">
        <item m="1" x="1"/>
        <item x="0"/>
        <item t="default"/>
      </items>
    </pivotField>
    <pivotField compact="0" showAll="0"/>
    <pivotField axis="axisPage" compact="0" showAll="0">
      <items count="4">
        <item m="1" x="2"/>
        <item x="0"/>
        <item x="1"/>
        <item t="default"/>
      </items>
    </pivotField>
    <pivotField compact="0" showAll="0"/>
    <pivotField compact="0" showAll="0"/>
    <pivotField dataField="1" compact="0" showAll="0"/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Row" compact="0" showAll="0" insertBlankRow="1" sortType="ascending">
      <items count="3">
        <item x="0"/>
        <item m="1" x="1"/>
        <item t="default"/>
      </items>
    </pivotField>
    <pivotField axis="axisPage" compact="0" showAll="0">
      <items count="3">
        <item m="1" x="1"/>
        <item x="0"/>
        <item t="default"/>
      </items>
    </pivotField>
    <pivotField compact="0" showAll="0"/>
    <pivotField compact="0" showAll="0"/>
    <pivotField compact="0" showAll="0"/>
    <pivotField compact="0" showAll="0"/>
    <pivotField axis="axisPage" compact="0" showAll="0">
      <items count="3">
        <item x="0"/>
        <item x="1"/>
        <item t="default"/>
      </items>
    </pivotField>
    <pivotField axis="axisRow" compact="0" showAll="0" insertBlankRow="1" sortType="ascending">
      <items count="4">
        <item x="1"/>
        <item x="0"/>
        <item m="1" x="2"/>
        <item t="default"/>
      </items>
    </pivotField>
    <pivotField axis="axisPage" compact="0" showAll="0">
      <items count="6">
        <item m="1" x="4"/>
        <item x="0"/>
        <item x="1"/>
        <item x="2"/>
        <item x="3"/>
        <item t="default"/>
      </items>
    </pivotField>
    <pivotField axis="axisPage" compact="0" showAll="0">
      <items count="6">
        <item m="1" x="4"/>
        <item x="0"/>
        <item x="1"/>
        <item x="2"/>
        <item x="3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axis="axisRow" compact="0" showAll="0" insertBlankRow="1" sortType="ascending">
      <items count="3">
        <item x="0"/>
        <item m="1" x="1"/>
        <item t="default"/>
      </items>
    </pivotField>
  </pivotFields>
  <rowFields count="4">
    <field x="12"/>
    <field x="24"/>
    <field x="0"/>
    <field x="19"/>
  </rowFields>
  <rowItems count="7">
    <i>
      <x/>
    </i>
    <i r="1">
      <x/>
    </i>
    <i r="2">
      <x/>
    </i>
    <i r="3">
      <x/>
    </i>
    <i r="3">
      <x v="1"/>
    </i>
    <i t="blank" r="2">
      <x/>
    </i>
    <i t="grand">
      <x/>
    </i>
  </rowItems>
  <colItems count="1">
    <i/>
  </colItems>
  <pageFields count="12">
    <pageField fld="10" hier="0"/>
    <pageField fld="11" hier="0"/>
    <pageField fld="4" hier="0"/>
    <pageField fld="6" hier="0"/>
    <pageField fld="3" hier="0"/>
    <pageField fld="1" hier="0"/>
    <pageField fld="13" hier="0"/>
    <pageField fld="18" hier="0"/>
    <pageField fld="20" hier="0"/>
    <pageField fld="22" hier="0"/>
    <pageField fld="21" hier="0"/>
    <pageField fld="2" hier="0"/>
  </pageFields>
  <dataFields count="1">
    <dataField name="Net Amount " fld="9" baseField="0" baseItem="0" numFmtId="164"/>
  </dataFields>
  <formats count="1">
    <format dxfId="6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Summary Receipts by Customer" cacheId="11" autoFormatId="4096" applyNumberFormats="1" applyBorderFormats="1" applyFontFormats="1" applyPatternFormats="1" applyAlignmentFormats="1" applyWidthHeightFormats="1" dataCaption="Data" updatedVersion="8" useAutoFormatting="1" colGrandTotals="0" itemPrintTitles="1" createdVersion="4" compact="0" compactData="0" gridDropZones="1">
  <location ref="A1:B3" firstHeaderRow="1" firstDataRow="1" firstDataCol="1"/>
  <pivotFields count="25">
    <pivotField axis="axisRow" compact="0" showAll="0" insertBlankRow="1" sortType="ascending">
      <items count="3">
        <item x="0"/>
        <item m="1"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Net Amount " fld="9" baseField="0" baseItem="0" numFmtId="164"/>
  </dataFields>
  <formats count="1">
    <format dxfId="5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Summary Receipts by State" cacheId="7" autoFormatId="4096" applyNumberFormats="1" applyBorderFormats="1" applyFontFormats="1" applyPatternFormats="1" applyAlignmentFormats="1" applyWidthHeightFormats="1" dataCaption="Data" updatedVersion="8" useAutoFormatting="1" colGrandTotals="0" itemPrintTitles="1" createdVersion="4" compact="0" compactData="0" gridDropZones="1">
  <location ref="A1:B4" firstHeaderRow="1" firstDataRow="1" firstDataCol="1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insertBlankRow="1" sortType="ascending">
      <items count="4">
        <item x="1"/>
        <item x="0"/>
        <item m="1"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Net Amount " fld="9" baseField="0" baseItem="0" numFmtId="164"/>
  </dataFields>
  <formats count="1">
    <format dxfId="4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workbookViewId="0">
      <pane ySplit="1" topLeftCell="A2" activePane="bottomLeft" state="frozen"/>
      <selection pane="bottomLeft" activeCell="A8" sqref="A8:XFD8"/>
    </sheetView>
  </sheetViews>
  <sheetFormatPr defaultRowHeight="12.5" x14ac:dyDescent="0.25"/>
  <cols>
    <col min="1" max="1" width="13.7265625" style="3" customWidth="1"/>
    <col min="2" max="2" width="15.7265625" style="3" customWidth="1"/>
    <col min="3" max="3" width="14.7265625" style="3" customWidth="1"/>
    <col min="4" max="4" width="12.7265625" style="5" customWidth="1"/>
    <col min="5" max="5" width="4.7265625" style="3" customWidth="1"/>
    <col min="6" max="6" width="14.7265625" style="3" customWidth="1"/>
    <col min="7" max="7" width="13.7265625" style="3" customWidth="1"/>
    <col min="8" max="8" width="17.7265625" style="6" customWidth="1"/>
    <col min="9" max="9" width="6.7265625" style="6" customWidth="1"/>
    <col min="10" max="10" width="10.7265625" style="6" customWidth="1"/>
    <col min="11" max="11" width="26.7265625" style="3" customWidth="1"/>
    <col min="12" max="13" width="17.7265625" style="3" customWidth="1"/>
    <col min="14" max="14" width="8.7265625" style="3" customWidth="1"/>
    <col min="15" max="15" width="18.7265625" style="3" customWidth="1"/>
    <col min="16" max="16" width="21.7265625" style="3" customWidth="1"/>
    <col min="17" max="17" width="25.7265625" style="3" customWidth="1"/>
    <col min="18" max="18" width="20.7265625" style="3" customWidth="1"/>
    <col min="19" max="19" width="10.7265625" style="3" customWidth="1"/>
    <col min="20" max="20" width="5.7265625" style="3" customWidth="1"/>
    <col min="21" max="21" width="11.7265625" style="5" customWidth="1"/>
    <col min="22" max="22" width="14.7265625" style="5" customWidth="1"/>
    <col min="23" max="23" width="8.7265625" style="3" customWidth="1"/>
    <col min="24" max="24" width="15.7265625" style="3" customWidth="1"/>
    <col min="25" max="25" width="14.7265625" style="3" customWidth="1"/>
  </cols>
  <sheetData>
    <row r="1" spans="1:2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5">
      <c r="A2" s="3" t="s">
        <v>51</v>
      </c>
      <c r="B2" s="3" t="s">
        <v>52</v>
      </c>
      <c r="C2" s="3" t="s">
        <v>53</v>
      </c>
      <c r="D2" s="5">
        <v>36069</v>
      </c>
      <c r="E2" s="3" t="s">
        <v>54</v>
      </c>
      <c r="F2" s="3" t="s">
        <v>55</v>
      </c>
      <c r="G2" s="3" t="s">
        <v>56</v>
      </c>
      <c r="H2" s="6">
        <v>880801.75</v>
      </c>
      <c r="I2" s="6">
        <v>880801.75</v>
      </c>
      <c r="J2" s="6">
        <v>880801.75</v>
      </c>
      <c r="M2" s="3" t="s">
        <v>57</v>
      </c>
      <c r="N2" s="3" t="s">
        <v>58</v>
      </c>
      <c r="T2" s="3" t="s">
        <v>59</v>
      </c>
      <c r="U2" s="5">
        <v>36099</v>
      </c>
      <c r="V2" s="5">
        <v>36099</v>
      </c>
      <c r="Y2" s="3" t="s">
        <v>60</v>
      </c>
    </row>
    <row r="3" spans="1:25" x14ac:dyDescent="0.25">
      <c r="A3" s="3" t="s">
        <v>51</v>
      </c>
      <c r="B3" s="3" t="s">
        <v>52</v>
      </c>
      <c r="C3" s="3" t="s">
        <v>61</v>
      </c>
      <c r="D3" s="5">
        <v>35886</v>
      </c>
      <c r="E3" s="3" t="s">
        <v>54</v>
      </c>
      <c r="F3" s="3" t="s">
        <v>55</v>
      </c>
      <c r="G3" s="3" t="s">
        <v>56</v>
      </c>
      <c r="H3" s="6">
        <v>12000000</v>
      </c>
      <c r="I3" s="6">
        <v>12000000</v>
      </c>
      <c r="J3" s="6">
        <v>12000000</v>
      </c>
      <c r="M3" s="3" t="s">
        <v>57</v>
      </c>
      <c r="N3" s="3" t="s">
        <v>58</v>
      </c>
      <c r="T3" s="3" t="s">
        <v>59</v>
      </c>
      <c r="U3" s="5">
        <v>36433</v>
      </c>
      <c r="V3" s="5">
        <v>36433</v>
      </c>
      <c r="Y3" s="3" t="s">
        <v>60</v>
      </c>
    </row>
    <row r="4" spans="1:25" x14ac:dyDescent="0.25">
      <c r="A4" s="3" t="s">
        <v>51</v>
      </c>
      <c r="B4" s="3" t="s">
        <v>52</v>
      </c>
      <c r="C4" s="3" t="s">
        <v>62</v>
      </c>
      <c r="D4" s="5">
        <v>35973</v>
      </c>
      <c r="E4" s="3" t="s">
        <v>54</v>
      </c>
      <c r="F4" s="3" t="s">
        <v>63</v>
      </c>
      <c r="G4" s="3" t="s">
        <v>56</v>
      </c>
      <c r="H4" s="6">
        <v>2000000</v>
      </c>
      <c r="I4" s="6">
        <v>2000000</v>
      </c>
      <c r="J4" s="6">
        <v>2000000</v>
      </c>
      <c r="M4" s="3" t="s">
        <v>57</v>
      </c>
      <c r="N4" s="3" t="s">
        <v>58</v>
      </c>
      <c r="T4" s="3" t="s">
        <v>64</v>
      </c>
      <c r="U4" s="5">
        <v>35947</v>
      </c>
      <c r="V4" s="5">
        <v>35947</v>
      </c>
      <c r="Y4" s="3" t="s">
        <v>60</v>
      </c>
    </row>
    <row r="5" spans="1:25" x14ac:dyDescent="0.25">
      <c r="A5" s="3" t="s">
        <v>51</v>
      </c>
      <c r="B5" s="3" t="s">
        <v>52</v>
      </c>
      <c r="C5" s="3" t="s">
        <v>65</v>
      </c>
      <c r="D5" s="5">
        <v>36103</v>
      </c>
      <c r="E5" s="3" t="s">
        <v>54</v>
      </c>
      <c r="F5" s="3" t="s">
        <v>55</v>
      </c>
      <c r="G5" s="3" t="s">
        <v>56</v>
      </c>
      <c r="H5" s="6">
        <v>1742.91</v>
      </c>
      <c r="I5" s="6">
        <v>1742.91</v>
      </c>
      <c r="J5" s="6">
        <v>1742.91</v>
      </c>
      <c r="M5" s="3" t="s">
        <v>57</v>
      </c>
      <c r="N5" s="3" t="s">
        <v>58</v>
      </c>
      <c r="T5" s="3" t="s">
        <v>59</v>
      </c>
      <c r="U5" s="5">
        <v>36129</v>
      </c>
      <c r="V5" s="5">
        <v>36129</v>
      </c>
      <c r="Y5" s="3" t="s">
        <v>60</v>
      </c>
    </row>
    <row r="6" spans="1:25" x14ac:dyDescent="0.25">
      <c r="A6" s="3" t="s">
        <v>51</v>
      </c>
      <c r="B6" s="3" t="s">
        <v>52</v>
      </c>
      <c r="C6" s="3" t="s">
        <v>66</v>
      </c>
      <c r="D6" s="5">
        <v>35785</v>
      </c>
      <c r="E6" s="3" t="s">
        <v>54</v>
      </c>
      <c r="F6" s="3" t="s">
        <v>55</v>
      </c>
      <c r="G6" s="3" t="s">
        <v>67</v>
      </c>
      <c r="H6" s="6">
        <v>4062.5</v>
      </c>
      <c r="I6" s="6">
        <v>6500</v>
      </c>
      <c r="J6" s="6">
        <v>6500</v>
      </c>
      <c r="M6" s="3" t="s">
        <v>57</v>
      </c>
      <c r="N6" s="3" t="s">
        <v>58</v>
      </c>
      <c r="T6" s="3" t="s">
        <v>59</v>
      </c>
      <c r="U6" s="5">
        <v>36433</v>
      </c>
      <c r="V6" s="5">
        <v>36433</v>
      </c>
      <c r="Y6" s="3" t="s">
        <v>60</v>
      </c>
    </row>
    <row r="7" spans="1:25" x14ac:dyDescent="0.25">
      <c r="A7" s="3" t="s">
        <v>51</v>
      </c>
      <c r="B7" s="3" t="s">
        <v>52</v>
      </c>
      <c r="C7" s="3" t="s">
        <v>68</v>
      </c>
      <c r="D7" s="5">
        <v>35819</v>
      </c>
      <c r="E7" s="3" t="s">
        <v>54</v>
      </c>
      <c r="F7" s="3" t="s">
        <v>55</v>
      </c>
      <c r="G7" s="3" t="s">
        <v>56</v>
      </c>
      <c r="H7" s="6">
        <v>5000</v>
      </c>
      <c r="I7" s="6">
        <v>5000</v>
      </c>
      <c r="J7" s="6">
        <v>5000</v>
      </c>
      <c r="M7" s="3" t="s">
        <v>57</v>
      </c>
      <c r="N7" s="3" t="s">
        <v>58</v>
      </c>
      <c r="S7" s="3" t="s">
        <v>69</v>
      </c>
      <c r="T7" s="3" t="s">
        <v>59</v>
      </c>
      <c r="U7" s="5">
        <v>36433</v>
      </c>
      <c r="V7" s="5">
        <v>36433</v>
      </c>
      <c r="Y7" s="3" t="s">
        <v>60</v>
      </c>
    </row>
  </sheetData>
  <autoFilter ref="A1:Y7" xr:uid="{00000000-0009-0000-0000-000000000000}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/>
  </sheetViews>
  <sheetFormatPr defaultRowHeight="12.5" x14ac:dyDescent="0.25"/>
  <cols>
    <col min="3" max="3" width="14.26953125" bestFit="1" customWidth="1"/>
  </cols>
  <sheetData>
    <row r="1" spans="1:9" x14ac:dyDescent="0.25">
      <c r="A1" s="14" t="s">
        <v>10</v>
      </c>
      <c r="B1" s="15" t="s">
        <v>72</v>
      </c>
    </row>
    <row r="2" spans="1:9" x14ac:dyDescent="0.25">
      <c r="A2" s="14" t="s">
        <v>11</v>
      </c>
      <c r="B2" s="15" t="s">
        <v>72</v>
      </c>
    </row>
    <row r="3" spans="1:9" x14ac:dyDescent="0.25">
      <c r="A3" s="14" t="s">
        <v>5</v>
      </c>
      <c r="B3" s="15" t="s">
        <v>72</v>
      </c>
    </row>
    <row r="4" spans="1:9" x14ac:dyDescent="0.25">
      <c r="A4" s="14" t="s">
        <v>4</v>
      </c>
      <c r="B4" s="15" t="s">
        <v>72</v>
      </c>
    </row>
    <row r="5" spans="1:9" x14ac:dyDescent="0.25">
      <c r="A5" s="14" t="s">
        <v>6</v>
      </c>
      <c r="B5" s="15" t="s">
        <v>72</v>
      </c>
    </row>
    <row r="6" spans="1:9" x14ac:dyDescent="0.25">
      <c r="A6" s="14" t="s">
        <v>3</v>
      </c>
      <c r="B6" s="15" t="s">
        <v>72</v>
      </c>
    </row>
    <row r="7" spans="1:9" x14ac:dyDescent="0.25">
      <c r="A7" s="14" t="s">
        <v>1</v>
      </c>
      <c r="B7" s="15" t="s">
        <v>72</v>
      </c>
    </row>
    <row r="8" spans="1:9" x14ac:dyDescent="0.25">
      <c r="A8" s="14" t="s">
        <v>13</v>
      </c>
      <c r="B8" s="15" t="s">
        <v>72</v>
      </c>
    </row>
    <row r="9" spans="1:9" x14ac:dyDescent="0.25">
      <c r="A9" s="14" t="s">
        <v>18</v>
      </c>
      <c r="B9" s="15" t="s">
        <v>72</v>
      </c>
    </row>
    <row r="10" spans="1:9" x14ac:dyDescent="0.25">
      <c r="A10" s="14" t="s">
        <v>20</v>
      </c>
      <c r="B10" s="15" t="s">
        <v>72</v>
      </c>
    </row>
    <row r="11" spans="1:9" x14ac:dyDescent="0.25">
      <c r="A11" s="14" t="s">
        <v>22</v>
      </c>
      <c r="B11" s="15" t="s">
        <v>72</v>
      </c>
    </row>
    <row r="12" spans="1:9" x14ac:dyDescent="0.25">
      <c r="A12" s="14" t="s">
        <v>21</v>
      </c>
      <c r="B12" s="15" t="s">
        <v>72</v>
      </c>
    </row>
    <row r="13" spans="1:9" x14ac:dyDescent="0.25">
      <c r="A13" s="14" t="s">
        <v>2</v>
      </c>
      <c r="B13" s="15" t="s">
        <v>72</v>
      </c>
    </row>
    <row r="14" spans="1:9" x14ac:dyDescent="0.25">
      <c r="A14" s="14" t="s">
        <v>9</v>
      </c>
      <c r="B14" s="15" t="s">
        <v>72</v>
      </c>
    </row>
    <row r="16" spans="1:9" x14ac:dyDescent="0.25">
      <c r="A16" s="9" t="s">
        <v>12</v>
      </c>
      <c r="B16" s="9" t="s">
        <v>24</v>
      </c>
      <c r="C16" s="9" t="s">
        <v>0</v>
      </c>
      <c r="D16" s="10"/>
      <c r="E16" s="10"/>
      <c r="F16" s="10"/>
      <c r="G16" s="10"/>
      <c r="H16" s="10"/>
      <c r="I16" s="10"/>
    </row>
    <row r="17" spans="1:9" x14ac:dyDescent="0.25">
      <c r="A17" s="16" t="s">
        <v>57</v>
      </c>
      <c r="B17" s="16"/>
      <c r="C17" s="16"/>
      <c r="D17" s="19"/>
      <c r="E17" s="19"/>
      <c r="F17" s="19"/>
      <c r="G17" s="19"/>
      <c r="H17" s="19"/>
      <c r="I17" s="19"/>
    </row>
    <row r="18" spans="1:9" x14ac:dyDescent="0.25">
      <c r="A18" s="11"/>
      <c r="B18" s="11" t="s">
        <v>60</v>
      </c>
      <c r="C18" s="11"/>
      <c r="D18" s="3"/>
      <c r="E18" s="3"/>
      <c r="F18" s="3"/>
      <c r="G18" s="3"/>
      <c r="H18" s="3"/>
      <c r="I18" s="3"/>
    </row>
    <row r="19" spans="1:9" x14ac:dyDescent="0.25">
      <c r="A19" s="11"/>
      <c r="B19" s="11"/>
      <c r="C19" s="11" t="s">
        <v>51</v>
      </c>
      <c r="D19" s="3"/>
      <c r="E19" s="3"/>
      <c r="F19" s="3"/>
      <c r="G19" s="3"/>
      <c r="H19" s="3"/>
      <c r="I19" s="3"/>
    </row>
    <row r="20" spans="1:9" x14ac:dyDescent="0.25">
      <c r="A20" s="11"/>
      <c r="B20" s="11"/>
      <c r="C20" s="11"/>
      <c r="D20" s="3"/>
      <c r="E20" s="3"/>
      <c r="F20" s="3"/>
      <c r="G20" s="3"/>
      <c r="H20" s="3"/>
      <c r="I20" s="3"/>
    </row>
    <row r="21" spans="1:9" x14ac:dyDescent="0.25">
      <c r="A21" s="12" t="s">
        <v>71</v>
      </c>
      <c r="B21" s="16"/>
      <c r="C21" s="16"/>
      <c r="D21" s="19"/>
      <c r="E21" s="19"/>
      <c r="F21" s="19"/>
      <c r="G21" s="19"/>
      <c r="H21" s="19"/>
      <c r="I21" s="19"/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2.5" x14ac:dyDescent="0.25"/>
  <cols>
    <col min="4" max="4" width="8.90625" bestFit="1" customWidth="1"/>
    <col min="5" max="5" width="10.90625" bestFit="1" customWidth="1"/>
  </cols>
  <sheetData>
    <row r="1" spans="1:5" x14ac:dyDescent="0.25">
      <c r="A1" s="14" t="s">
        <v>10</v>
      </c>
      <c r="B1" s="15" t="s">
        <v>72</v>
      </c>
    </row>
    <row r="2" spans="1:5" x14ac:dyDescent="0.25">
      <c r="A2" s="14" t="s">
        <v>11</v>
      </c>
      <c r="B2" s="15" t="s">
        <v>72</v>
      </c>
    </row>
    <row r="3" spans="1:5" x14ac:dyDescent="0.25">
      <c r="A3" s="14" t="s">
        <v>4</v>
      </c>
      <c r="B3" s="15" t="s">
        <v>72</v>
      </c>
    </row>
    <row r="4" spans="1:5" x14ac:dyDescent="0.25">
      <c r="A4" s="14" t="s">
        <v>6</v>
      </c>
      <c r="B4" s="15" t="s">
        <v>72</v>
      </c>
    </row>
    <row r="5" spans="1:5" x14ac:dyDescent="0.25">
      <c r="A5" s="14" t="s">
        <v>3</v>
      </c>
      <c r="B5" s="15" t="s">
        <v>72</v>
      </c>
    </row>
    <row r="6" spans="1:5" x14ac:dyDescent="0.25">
      <c r="A6" s="14" t="s">
        <v>1</v>
      </c>
      <c r="B6" s="15" t="s">
        <v>72</v>
      </c>
    </row>
    <row r="7" spans="1:5" x14ac:dyDescent="0.25">
      <c r="A7" s="14" t="s">
        <v>13</v>
      </c>
      <c r="B7" s="15" t="s">
        <v>72</v>
      </c>
    </row>
    <row r="8" spans="1:5" x14ac:dyDescent="0.25">
      <c r="A8" s="14" t="s">
        <v>18</v>
      </c>
      <c r="B8" s="15" t="s">
        <v>72</v>
      </c>
    </row>
    <row r="9" spans="1:5" x14ac:dyDescent="0.25">
      <c r="A9" s="14" t="s">
        <v>20</v>
      </c>
      <c r="B9" s="15" t="s">
        <v>72</v>
      </c>
    </row>
    <row r="10" spans="1:5" x14ac:dyDescent="0.25">
      <c r="A10" s="14" t="s">
        <v>22</v>
      </c>
      <c r="B10" s="15" t="s">
        <v>72</v>
      </c>
    </row>
    <row r="11" spans="1:5" x14ac:dyDescent="0.25">
      <c r="A11" s="14" t="s">
        <v>21</v>
      </c>
      <c r="B11" s="15" t="s">
        <v>72</v>
      </c>
    </row>
    <row r="12" spans="1:5" x14ac:dyDescent="0.25">
      <c r="A12" s="14" t="s">
        <v>2</v>
      </c>
      <c r="B12" s="15" t="s">
        <v>72</v>
      </c>
    </row>
    <row r="14" spans="1:5" x14ac:dyDescent="0.25">
      <c r="A14" s="9" t="s">
        <v>12</v>
      </c>
      <c r="B14" s="9" t="s">
        <v>24</v>
      </c>
      <c r="C14" s="9" t="s">
        <v>0</v>
      </c>
      <c r="D14" s="9" t="s">
        <v>19</v>
      </c>
      <c r="E14" s="10" t="s">
        <v>70</v>
      </c>
    </row>
    <row r="15" spans="1:5" x14ac:dyDescent="0.25">
      <c r="A15" s="16" t="s">
        <v>57</v>
      </c>
      <c r="B15" s="16"/>
      <c r="C15" s="16"/>
      <c r="D15" s="16"/>
      <c r="E15" s="13">
        <v>14904044.66</v>
      </c>
    </row>
    <row r="16" spans="1:5" x14ac:dyDescent="0.25">
      <c r="A16" s="11"/>
      <c r="B16" s="11" t="s">
        <v>60</v>
      </c>
      <c r="C16" s="11"/>
      <c r="D16" s="11"/>
      <c r="E16" s="6">
        <v>14904044.66</v>
      </c>
    </row>
    <row r="17" spans="1:5" x14ac:dyDescent="0.25">
      <c r="A17" s="11"/>
      <c r="B17" s="11"/>
      <c r="C17" s="17" t="s">
        <v>51</v>
      </c>
      <c r="D17" s="17"/>
      <c r="E17" s="18">
        <v>14904044.66</v>
      </c>
    </row>
    <row r="18" spans="1:5" x14ac:dyDescent="0.25">
      <c r="A18" s="11"/>
      <c r="B18" s="11"/>
      <c r="C18" s="11"/>
      <c r="D18" s="11" t="s">
        <v>64</v>
      </c>
      <c r="E18" s="6">
        <v>2000000</v>
      </c>
    </row>
    <row r="19" spans="1:5" x14ac:dyDescent="0.25">
      <c r="A19" s="11"/>
      <c r="B19" s="11"/>
      <c r="C19" s="11"/>
      <c r="D19" s="11" t="s">
        <v>59</v>
      </c>
      <c r="E19" s="6">
        <v>12904044.66</v>
      </c>
    </row>
    <row r="20" spans="1:5" x14ac:dyDescent="0.25">
      <c r="A20" s="11"/>
      <c r="B20" s="11"/>
      <c r="C20" s="11"/>
      <c r="D20" s="11"/>
      <c r="E20" s="6"/>
    </row>
    <row r="21" spans="1:5" x14ac:dyDescent="0.25">
      <c r="A21" s="12" t="s">
        <v>71</v>
      </c>
      <c r="B21" s="16"/>
      <c r="C21" s="16"/>
      <c r="D21" s="16"/>
      <c r="E21" s="13">
        <v>14904044.66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2.5" x14ac:dyDescent="0.25"/>
  <cols>
    <col min="1" max="1" width="14.26953125" bestFit="1" customWidth="1"/>
    <col min="2" max="2" width="10.90625" bestFit="1" customWidth="1"/>
  </cols>
  <sheetData>
    <row r="1" spans="1:2" x14ac:dyDescent="0.25">
      <c r="A1" s="9" t="s">
        <v>0</v>
      </c>
      <c r="B1" s="10" t="s">
        <v>70</v>
      </c>
    </row>
    <row r="2" spans="1:2" x14ac:dyDescent="0.25">
      <c r="A2" s="11" t="s">
        <v>51</v>
      </c>
      <c r="B2" s="6">
        <v>14904044.66</v>
      </c>
    </row>
    <row r="3" spans="1:2" x14ac:dyDescent="0.25">
      <c r="A3" s="12" t="s">
        <v>71</v>
      </c>
      <c r="B3" s="13">
        <v>14904044.66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2.5" x14ac:dyDescent="0.25"/>
  <cols>
    <col min="1" max="1" width="8.90625" bestFit="1" customWidth="1"/>
    <col min="2" max="2" width="10.90625" bestFit="1" customWidth="1"/>
  </cols>
  <sheetData>
    <row r="1" spans="1:2" x14ac:dyDescent="0.25">
      <c r="A1" s="9" t="s">
        <v>19</v>
      </c>
      <c r="B1" s="10" t="s">
        <v>70</v>
      </c>
    </row>
    <row r="2" spans="1:2" x14ac:dyDescent="0.25">
      <c r="A2" s="11" t="s">
        <v>64</v>
      </c>
      <c r="B2" s="6">
        <v>2000000</v>
      </c>
    </row>
    <row r="3" spans="1:2" x14ac:dyDescent="0.25">
      <c r="A3" s="11" t="s">
        <v>59</v>
      </c>
      <c r="B3" s="6">
        <v>12904044.66</v>
      </c>
    </row>
    <row r="4" spans="1:2" x14ac:dyDescent="0.25">
      <c r="A4" s="12" t="s">
        <v>71</v>
      </c>
      <c r="B4" s="13">
        <v>14904044.66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showGridLines="0" workbookViewId="0"/>
  </sheetViews>
  <sheetFormatPr defaultRowHeight="12.5" x14ac:dyDescent="0.25"/>
  <cols>
    <col min="1" max="1" width="22.7265625" customWidth="1"/>
    <col min="2" max="2" width="36.7265625" customWidth="1"/>
  </cols>
  <sheetData>
    <row r="1" spans="1:2" ht="18" customHeight="1" x14ac:dyDescent="0.25">
      <c r="A1" s="2" t="s">
        <v>25</v>
      </c>
      <c r="B1" s="1"/>
    </row>
    <row r="2" spans="1:2" x14ac:dyDescent="0.25">
      <c r="A2" s="1"/>
      <c r="B2" s="1"/>
    </row>
    <row r="3" spans="1:2" ht="13" x14ac:dyDescent="0.3">
      <c r="A3" s="8" t="s">
        <v>26</v>
      </c>
      <c r="B3" s="7" t="s">
        <v>28</v>
      </c>
    </row>
    <row r="4" spans="1:2" x14ac:dyDescent="0.25">
      <c r="A4" s="7"/>
      <c r="B4" s="7"/>
    </row>
    <row r="5" spans="1:2" ht="13" x14ac:dyDescent="0.3">
      <c r="A5" s="8" t="s">
        <v>27</v>
      </c>
      <c r="B5" s="7"/>
    </row>
    <row r="6" spans="1:2" x14ac:dyDescent="0.25">
      <c r="A6" s="7" t="s">
        <v>29</v>
      </c>
      <c r="B6" s="7" t="s">
        <v>30</v>
      </c>
    </row>
    <row r="7" spans="1:2" x14ac:dyDescent="0.25">
      <c r="A7" s="7" t="s">
        <v>31</v>
      </c>
      <c r="B7" s="7" t="s">
        <v>32</v>
      </c>
    </row>
    <row r="8" spans="1:2" x14ac:dyDescent="0.25">
      <c r="A8" s="7" t="s">
        <v>33</v>
      </c>
      <c r="B8" s="7" t="s">
        <v>34</v>
      </c>
    </row>
    <row r="9" spans="1:2" x14ac:dyDescent="0.25">
      <c r="A9" s="7"/>
      <c r="B9" s="7"/>
    </row>
    <row r="10" spans="1:2" ht="13" x14ac:dyDescent="0.3">
      <c r="A10" s="8" t="s">
        <v>35</v>
      </c>
      <c r="B10" s="7"/>
    </row>
    <row r="11" spans="1:2" x14ac:dyDescent="0.25">
      <c r="A11" s="7" t="s">
        <v>36</v>
      </c>
      <c r="B11" s="7" t="s">
        <v>37</v>
      </c>
    </row>
    <row r="12" spans="1:2" x14ac:dyDescent="0.25">
      <c r="A12" s="7" t="s">
        <v>38</v>
      </c>
      <c r="B12" s="7" t="s">
        <v>39</v>
      </c>
    </row>
    <row r="13" spans="1:2" x14ac:dyDescent="0.25">
      <c r="A13" s="7" t="s">
        <v>40</v>
      </c>
      <c r="B13" s="7" t="s">
        <v>41</v>
      </c>
    </row>
    <row r="14" spans="1:2" x14ac:dyDescent="0.25">
      <c r="A14" s="7" t="s">
        <v>43</v>
      </c>
      <c r="B14" s="7" t="s">
        <v>42</v>
      </c>
    </row>
    <row r="15" spans="1:2" x14ac:dyDescent="0.25">
      <c r="A15" s="7" t="s">
        <v>45</v>
      </c>
      <c r="B15" s="7" t="s">
        <v>44</v>
      </c>
    </row>
    <row r="16" spans="1:2" x14ac:dyDescent="0.25">
      <c r="A16" s="7" t="s">
        <v>46</v>
      </c>
      <c r="B16" s="7" t="s">
        <v>44</v>
      </c>
    </row>
    <row r="17" spans="1:2" x14ac:dyDescent="0.25">
      <c r="A17" s="7" t="s">
        <v>48</v>
      </c>
      <c r="B17" s="7" t="s">
        <v>47</v>
      </c>
    </row>
    <row r="18" spans="1:2" x14ac:dyDescent="0.25">
      <c r="A18" s="7" t="s">
        <v>50</v>
      </c>
      <c r="B18" s="7" t="s">
        <v>49</v>
      </c>
    </row>
    <row r="19" spans="1:2" x14ac:dyDescent="0.25">
      <c r="A19" s="7"/>
      <c r="B19" s="7"/>
    </row>
  </sheetData>
  <sheetProtection password="DD13" sheet="1" objects="1" scenarios="1"/>
  <mergeCells count="1">
    <mergeCell ref="A1:B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Pivot-Summ Receipts by Custom</vt:lpstr>
      <vt:lpstr>Pivot-Fixed</vt:lpstr>
      <vt:lpstr>Summary Receipts by Customer</vt:lpstr>
      <vt:lpstr>Summary Receipts by State</vt:lpstr>
      <vt:lpstr>Report Filters - Copy of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Subrat Mishra</cp:lastModifiedBy>
  <dcterms:modified xsi:type="dcterms:W3CDTF">2025-12-03T05:03:45Z</dcterms:modified>
  <cp:category/>
</cp:coreProperties>
</file>